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Char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9" authorId="0">
      <text>
        <r>
          <rPr>
            <sz val="10"/>
            <rFont val="Arial"/>
            <family val="2"/>
          </rPr>
          <t xml:space="preserve">In the year 1656, the last year of Methuselah’s life, the flood occurred which drastically changed the earth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5</xdr:row>
                <xdr:rowOff>1</xdr:rowOff>
              </xdr:from>
              <xdr:to>
                <xdr:col>2</xdr:col>
                <xdr:colOff>23</xdr:colOff>
                <xdr:row>14</xdr:row>
                <xdr:rowOff>2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Lamech died 5 years before the flood.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6</xdr:row>
                <xdr:rowOff>1</xdr:rowOff>
              </xdr:from>
              <xdr:to>
                <xdr:col>2</xdr:col>
                <xdr:colOff>23</xdr:colOff>
                <xdr:row>9</xdr:row>
                <xdr:rowOff>3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Noah lived for 600 years before the flood and 350 years after the flood.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7</xdr:row>
                <xdr:rowOff>1</xdr:rowOff>
              </xdr:from>
              <xdr:to>
                <xdr:col>2</xdr:col>
                <xdr:colOff>23</xdr:colOff>
                <xdr:row>11</xdr:row>
                <xdr:rowOff>1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Arphaxad was the first recorded man to live entirely after the flood. He was born 2 years after the flood (Gen 11:10).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9</xdr:row>
                <xdr:rowOff>1</xdr:rowOff>
              </xdr:from>
              <xdr:to>
                <xdr:col>2</xdr:col>
                <xdr:colOff>23</xdr:colOff>
                <xdr:row>15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<sst xmlns="http://schemas.openxmlformats.org/spreadsheetml/2006/main" count="123" uniqueCount="112">
  <si>
    <t xml:space="preserve">Name</t>
  </si>
  <si>
    <t xml:space="preserve">Age</t>
  </si>
  <si>
    <t xml:space="preserve">Reference</t>
  </si>
  <si>
    <t xml:space="preserve">Adam</t>
  </si>
  <si>
    <t xml:space="preserve">Gen 5:5</t>
  </si>
  <si>
    <t xml:space="preserve">Average</t>
  </si>
  <si>
    <t xml:space="preserve">excluding</t>
  </si>
  <si>
    <t xml:space="preserve">Seth</t>
  </si>
  <si>
    <t xml:space="preserve">Gen 5:8</t>
  </si>
  <si>
    <t xml:space="preserve">before</t>
  </si>
  <si>
    <t xml:space="preserve">Enoch</t>
  </si>
  <si>
    <t xml:space="preserve">who</t>
  </si>
  <si>
    <t xml:space="preserve">Enos</t>
  </si>
  <si>
    <t xml:space="preserve">Gen 5:11</t>
  </si>
  <si>
    <t xml:space="preserve">the</t>
  </si>
  <si>
    <t xml:space="preserve">lived</t>
  </si>
  <si>
    <t xml:space="preserve">Cainan</t>
  </si>
  <si>
    <t xml:space="preserve">Gen 5:14</t>
  </si>
  <si>
    <t xml:space="preserve">flood</t>
  </si>
  <si>
    <t xml:space="preserve">any</t>
  </si>
  <si>
    <t xml:space="preserve">Mahalaleel</t>
  </si>
  <si>
    <t xml:space="preserve">Gen 5:17</t>
  </si>
  <si>
    <t xml:space="preserve">amount</t>
  </si>
  <si>
    <t xml:space="preserve">Jared</t>
  </si>
  <si>
    <t xml:space="preserve">Gen 5:20</t>
  </si>
  <si>
    <t xml:space="preserve">of time</t>
  </si>
  <si>
    <t xml:space="preserve">Gen 5:23</t>
  </si>
  <si>
    <t xml:space="preserve">Methuselah</t>
  </si>
  <si>
    <t xml:space="preserve">Gen 5:27</t>
  </si>
  <si>
    <t xml:space="preserve">the flood</t>
  </si>
  <si>
    <t xml:space="preserve">Lamech</t>
  </si>
  <si>
    <t xml:space="preserve">Gen 5:31</t>
  </si>
  <si>
    <t xml:space="preserve">Noah</t>
  </si>
  <si>
    <t xml:space="preserve">Gen 9:29</t>
  </si>
  <si>
    <t xml:space="preserve">Shem</t>
  </si>
  <si>
    <t xml:space="preserve">Gen 11:10,11</t>
  </si>
  <si>
    <t xml:space="preserve">Arphaxad</t>
  </si>
  <si>
    <t xml:space="preserve">Gen 11:12,13</t>
  </si>
  <si>
    <t xml:space="preserve">after</t>
  </si>
  <si>
    <t xml:space="preserve">Salah</t>
  </si>
  <si>
    <t xml:space="preserve">Gen 11:14,15</t>
  </si>
  <si>
    <t xml:space="preserve">Eber</t>
  </si>
  <si>
    <t xml:space="preserve">Gen 11:16,17</t>
  </si>
  <si>
    <t xml:space="preserve">Peleg</t>
  </si>
  <si>
    <t xml:space="preserve">Gen 11:18,19</t>
  </si>
  <si>
    <t xml:space="preserve">Reu</t>
  </si>
  <si>
    <t xml:space="preserve">Gen 11:20,21</t>
  </si>
  <si>
    <t xml:space="preserve">Serug</t>
  </si>
  <si>
    <t xml:space="preserve">Gen 11:22,23</t>
  </si>
  <si>
    <t xml:space="preserve">entirely</t>
  </si>
  <si>
    <t xml:space="preserve">Nahor</t>
  </si>
  <si>
    <t xml:space="preserve">Gen 11:24,25</t>
  </si>
  <si>
    <t xml:space="preserve">Terah</t>
  </si>
  <si>
    <t xml:space="preserve">Gen 11:32</t>
  </si>
  <si>
    <t xml:space="preserve">Abraham</t>
  </si>
  <si>
    <t xml:space="preserve">Gen 25:7</t>
  </si>
  <si>
    <t xml:space="preserve">Ishmael</t>
  </si>
  <si>
    <t xml:space="preserve">Gen 25:17</t>
  </si>
  <si>
    <t xml:space="preserve">Isaac</t>
  </si>
  <si>
    <t xml:space="preserve">Gen 35:28</t>
  </si>
  <si>
    <t xml:space="preserve">Jacob</t>
  </si>
  <si>
    <t xml:space="preserve">Gen 47:28</t>
  </si>
  <si>
    <t xml:space="preserve">Joseph</t>
  </si>
  <si>
    <t xml:space="preserve">Gen 50:26</t>
  </si>
  <si>
    <t xml:space="preserve">Levi</t>
  </si>
  <si>
    <t xml:space="preserve">Exo 6:16</t>
  </si>
  <si>
    <t xml:space="preserve">Kohath</t>
  </si>
  <si>
    <t xml:space="preserve">Exo 6:18</t>
  </si>
  <si>
    <t xml:space="preserve">Amram</t>
  </si>
  <si>
    <t xml:space="preserve">Exo 6:20</t>
  </si>
  <si>
    <t xml:space="preserve">Aaron</t>
  </si>
  <si>
    <t xml:space="preserve">Num 33:39</t>
  </si>
  <si>
    <t xml:space="preserve">Moses</t>
  </si>
  <si>
    <t xml:space="preserve">Deu 34:7</t>
  </si>
  <si>
    <t xml:space="preserve">Joshua</t>
  </si>
  <si>
    <t xml:space="preserve">Jos 24:29, Jdg 2:8</t>
  </si>
  <si>
    <t xml:space="preserve">Eli</t>
  </si>
  <si>
    <t xml:space="preserve">1Sa 4:15-18</t>
  </si>
  <si>
    <t xml:space="preserve">David</t>
  </si>
  <si>
    <t xml:space="preserve">2Sa 5:4</t>
  </si>
  <si>
    <t xml:space="preserve">Rehoboam king of Judah</t>
  </si>
  <si>
    <t xml:space="preserve">1Ki 14:21 Calculated based on the length of his reign. Unknown whether he died the same year as the end of his reign.</t>
  </si>
  <si>
    <t xml:space="preserve">Jehoshaphat king of Judah</t>
  </si>
  <si>
    <t xml:space="preserve">2Ki 22:42 Calculated based on the length of his reign. Unknown whether he died the same year as the end of his reign.</t>
  </si>
  <si>
    <t xml:space="preserve">Jehoram king of Judah</t>
  </si>
  <si>
    <t xml:space="preserve">2Ki 8:16,17, 2Ch 21:18,19</t>
  </si>
  <si>
    <t xml:space="preserve">Elder Ahaziah king of Judah</t>
  </si>
  <si>
    <r>
      <rPr>
        <sz val="6"/>
        <rFont val="Arial"/>
        <family val="2"/>
        <charset val="1"/>
      </rPr>
      <t xml:space="preserve">2Ch 22:2 Calculated based on length of reign (which began in the 11</t>
    </r>
    <r>
      <rPr>
        <vertAlign val="superscript"/>
        <sz val="6"/>
        <rFont val="Arial"/>
        <family val="2"/>
        <charset val="1"/>
      </rPr>
      <t xml:space="preserve">th</t>
    </r>
    <r>
      <rPr>
        <sz val="6"/>
        <rFont val="Arial"/>
        <family val="2"/>
        <charset val="1"/>
      </rPr>
      <t xml:space="preserve"> year of Jehoram king of Israel 2Ki 9:29) until Jehu killed him (presumably after the Younger Ahaziah)</t>
    </r>
  </si>
  <si>
    <t xml:space="preserve">Younger Ahaziah king of Judah</t>
  </si>
  <si>
    <r>
      <rPr>
        <sz val="6"/>
        <rFont val="Arial"/>
        <family val="2"/>
        <charset val="1"/>
      </rPr>
      <t xml:space="preserve">2Ki 8:25,26 Calculated based on length of reign (which began in the 12</t>
    </r>
    <r>
      <rPr>
        <vertAlign val="superscript"/>
        <sz val="6"/>
        <rFont val="Arial"/>
        <family val="2"/>
        <charset val="1"/>
      </rPr>
      <t xml:space="preserve">th</t>
    </r>
    <r>
      <rPr>
        <sz val="6"/>
        <rFont val="Arial"/>
        <family val="2"/>
        <charset val="1"/>
      </rPr>
      <t xml:space="preserve"> year of Jehoram king of Israel).</t>
    </r>
  </si>
  <si>
    <t xml:space="preserve">Joash king of Judah</t>
  </si>
  <si>
    <t xml:space="preserve">2Ki 11:21, 12:1 Calculated based on length of reign. Unknown if he died the same year as the end of his reign.</t>
  </si>
  <si>
    <t xml:space="preserve">Jehoiada the priest</t>
  </si>
  <si>
    <t xml:space="preserve">2Ch 24:15</t>
  </si>
  <si>
    <t xml:space="preserve">Amaziah king of Judah</t>
  </si>
  <si>
    <t xml:space="preserve">2Ki 14:2,17</t>
  </si>
  <si>
    <t xml:space="preserve">Azariah king of Judah</t>
  </si>
  <si>
    <t xml:space="preserve">2Ki 15:1,2 Calculated based on length of reign. Unknown whether he died the same year as the end of his reign.</t>
  </si>
  <si>
    <t xml:space="preserve">Jotham king of Judah</t>
  </si>
  <si>
    <t xml:space="preserve">2Ki 15:32,33 Calculated based on length of reign. Unknown whether he died the same year that his reign ended.</t>
  </si>
  <si>
    <t xml:space="preserve">Ahaz king of Judah</t>
  </si>
  <si>
    <t xml:space="preserve">2Ki 16:2 Calculated based on length of reign. Unknown whether he died the same year that his reign ended.</t>
  </si>
  <si>
    <t xml:space="preserve">Hezekiah king of Judah</t>
  </si>
  <si>
    <t xml:space="preserve">2Ch 29:1, Isa 38:1-5</t>
  </si>
  <si>
    <t xml:space="preserve">Manasseh king of Judah</t>
  </si>
  <si>
    <t xml:space="preserve">2Ki 21:1 Calculated based on the length of his reign. Unknown whether he died the same year as the end of his reign.</t>
  </si>
  <si>
    <t xml:space="preserve">Amon king of Judah</t>
  </si>
  <si>
    <t xml:space="preserve">2Ki 21:19 Calculated based on length of reign. Unknown whether he died the same year that his reign ended.</t>
  </si>
  <si>
    <t xml:space="preserve">Josiah king of Judah</t>
  </si>
  <si>
    <t xml:space="preserve">2Ki 22:1, 2Ki 23:30</t>
  </si>
  <si>
    <t xml:space="preserve">Eliakim king of Judah</t>
  </si>
  <si>
    <t xml:space="preserve">2Ki 23:36, 24:6, 2Ch 36:6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</si>
</sst>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00"/>
  </numFmts>
  <fonts count="11">
    <font>
      <sz val="12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6"/>
      <name val="Arial"/>
      <family val="2"/>
      <charset val="1"/>
    </font>
    <font>
      <vertAlign val="superscript"/>
      <sz val="6"/>
      <name val="Arial"/>
      <family val="2"/>
      <charset val="1"/>
    </font>
    <font>
      <sz val="10"/>
      <name val="Arial"/>
      <family val="2"/>
    </font>
    <font>
      <sz val="6"/>
      <color rgb="FF000000"/>
      <name val="Arial"/>
      <family val="2"/>
    </font>
    <font>
      <sz val="10"/>
      <color rgb="FF000000"/>
      <name val="Arial"/>
      <family val="0"/>
    </font>
    <font>
      <sz val="10"/>
      <color rgb="FF000000"/>
      <name val="Times New Roman"/>
      <family val="0"/>
    </font>
  </fonts>
  <fills count="4">
    <fill>
      <patternFill patternType="none"/>
    </fill>
    <fill>
      <patternFill patternType="gray125"/>
    </fill>
    <fill>
      <patternFill patternType="solid">
        <fgColor rgb="FFFFFFD7"/>
        <bgColor rgb="FFFFF5CE"/>
      </patternFill>
    </fill>
    <fill>
      <patternFill patternType="solid">
        <fgColor rgb="FFFFF5CE"/>
        <bgColor rgb="FFFFFFD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5C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207404280022165"/>
          <c:y val="0.00867439017290563"/>
          <c:w val="0.972636356439824"/>
          <c:h val="0.840251499097631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Data!$A$2:$A$49</c:f>
              <c:strCache>
                <c:ptCount val="48"/>
                <c:pt idx="0">
                  <c:v>Adam</c:v>
                </c:pt>
                <c:pt idx="1">
                  <c:v>Seth</c:v>
                </c:pt>
                <c:pt idx="2">
                  <c:v>Enos</c:v>
                </c:pt>
                <c:pt idx="3">
                  <c:v>Cainan</c:v>
                </c:pt>
                <c:pt idx="4">
                  <c:v>Mahalaleel</c:v>
                </c:pt>
                <c:pt idx="5">
                  <c:v>Jared</c:v>
                </c:pt>
                <c:pt idx="6">
                  <c:v>Enoch</c:v>
                </c:pt>
                <c:pt idx="7">
                  <c:v>Methuselah</c:v>
                </c:pt>
                <c:pt idx="8">
                  <c:v>Lamech</c:v>
                </c:pt>
                <c:pt idx="9">
                  <c:v>Noah</c:v>
                </c:pt>
                <c:pt idx="10">
                  <c:v>Shem</c:v>
                </c:pt>
                <c:pt idx="11">
                  <c:v>Arphaxad</c:v>
                </c:pt>
                <c:pt idx="12">
                  <c:v>Salah</c:v>
                </c:pt>
                <c:pt idx="13">
                  <c:v>Eber</c:v>
                </c:pt>
                <c:pt idx="14">
                  <c:v>Peleg</c:v>
                </c:pt>
                <c:pt idx="15">
                  <c:v>Reu</c:v>
                </c:pt>
                <c:pt idx="16">
                  <c:v>Serug</c:v>
                </c:pt>
                <c:pt idx="17">
                  <c:v>Nahor</c:v>
                </c:pt>
                <c:pt idx="18">
                  <c:v>Terah</c:v>
                </c:pt>
                <c:pt idx="19">
                  <c:v>Abraham</c:v>
                </c:pt>
                <c:pt idx="20">
                  <c:v>Ishmael</c:v>
                </c:pt>
                <c:pt idx="21">
                  <c:v>Isaac</c:v>
                </c:pt>
                <c:pt idx="22">
                  <c:v>Jacob</c:v>
                </c:pt>
                <c:pt idx="23">
                  <c:v>Joseph</c:v>
                </c:pt>
                <c:pt idx="24">
                  <c:v>Levi</c:v>
                </c:pt>
                <c:pt idx="25">
                  <c:v>Kohath</c:v>
                </c:pt>
                <c:pt idx="26">
                  <c:v>Amram</c:v>
                </c:pt>
                <c:pt idx="27">
                  <c:v>Aaron</c:v>
                </c:pt>
                <c:pt idx="28">
                  <c:v>Moses</c:v>
                </c:pt>
                <c:pt idx="29">
                  <c:v>Joshua</c:v>
                </c:pt>
                <c:pt idx="30">
                  <c:v>Eli</c:v>
                </c:pt>
                <c:pt idx="31">
                  <c:v>David</c:v>
                </c:pt>
                <c:pt idx="32">
                  <c:v>Rehoboam king of Judah</c:v>
                </c:pt>
                <c:pt idx="33">
                  <c:v>Jehoshaphat king of Judah</c:v>
                </c:pt>
                <c:pt idx="34">
                  <c:v>Jehoram king of Judah</c:v>
                </c:pt>
                <c:pt idx="35">
                  <c:v>Elder Ahaziah king of Judah</c:v>
                </c:pt>
                <c:pt idx="36">
                  <c:v>Younger Ahaziah king of Judah</c:v>
                </c:pt>
                <c:pt idx="37">
                  <c:v>Joash king of Judah</c:v>
                </c:pt>
                <c:pt idx="38">
                  <c:v>Jehoiada the priest</c:v>
                </c:pt>
                <c:pt idx="39">
                  <c:v>Amaziah king of Judah</c:v>
                </c:pt>
                <c:pt idx="40">
                  <c:v>Azariah king of Judah</c:v>
                </c:pt>
                <c:pt idx="41">
                  <c:v>Jotham king of Judah</c:v>
                </c:pt>
                <c:pt idx="42">
                  <c:v>Ahaz king of Judah</c:v>
                </c:pt>
                <c:pt idx="43">
                  <c:v>Hezekiah king of Judah</c:v>
                </c:pt>
                <c:pt idx="44">
                  <c:v>Manasseh king of Judah</c:v>
                </c:pt>
                <c:pt idx="45">
                  <c:v>Amon king of Judah</c:v>
                </c:pt>
                <c:pt idx="46">
                  <c:v>Josiah king of Judah</c:v>
                </c:pt>
                <c:pt idx="47">
                  <c:v>Eliakim king of Judah</c:v>
                </c:pt>
              </c:strCache>
            </c:strRef>
          </c:cat>
          <c:val>
            <c:numRef>
              <c:f>Data!$B$2:$B$49</c:f>
              <c:numCache>
                <c:formatCode>General</c:formatCode>
                <c:ptCount val="48"/>
                <c:pt idx="0">
                  <c:v>930</c:v>
                </c:pt>
                <c:pt idx="1">
                  <c:v>912</c:v>
                </c:pt>
                <c:pt idx="2">
                  <c:v>905</c:v>
                </c:pt>
                <c:pt idx="3">
                  <c:v>910</c:v>
                </c:pt>
                <c:pt idx="4">
                  <c:v>895</c:v>
                </c:pt>
                <c:pt idx="5">
                  <c:v>962</c:v>
                </c:pt>
                <c:pt idx="6">
                  <c:v>365</c:v>
                </c:pt>
                <c:pt idx="7">
                  <c:v>969</c:v>
                </c:pt>
                <c:pt idx="8">
                  <c:v>777</c:v>
                </c:pt>
                <c:pt idx="9">
                  <c:v>950</c:v>
                </c:pt>
                <c:pt idx="10">
                  <c:v>600</c:v>
                </c:pt>
                <c:pt idx="11">
                  <c:v>438</c:v>
                </c:pt>
                <c:pt idx="12">
                  <c:v>433</c:v>
                </c:pt>
                <c:pt idx="13">
                  <c:v>464</c:v>
                </c:pt>
                <c:pt idx="14">
                  <c:v>239</c:v>
                </c:pt>
                <c:pt idx="15">
                  <c:v>239</c:v>
                </c:pt>
                <c:pt idx="16">
                  <c:v>230</c:v>
                </c:pt>
                <c:pt idx="17">
                  <c:v>148</c:v>
                </c:pt>
                <c:pt idx="18">
                  <c:v>205</c:v>
                </c:pt>
                <c:pt idx="19">
                  <c:v>175</c:v>
                </c:pt>
                <c:pt idx="20">
                  <c:v>137</c:v>
                </c:pt>
                <c:pt idx="21">
                  <c:v>180</c:v>
                </c:pt>
                <c:pt idx="22">
                  <c:v>147</c:v>
                </c:pt>
                <c:pt idx="23">
                  <c:v>110</c:v>
                </c:pt>
                <c:pt idx="24">
                  <c:v>137</c:v>
                </c:pt>
                <c:pt idx="25">
                  <c:v>133</c:v>
                </c:pt>
                <c:pt idx="26">
                  <c:v>137</c:v>
                </c:pt>
                <c:pt idx="27">
                  <c:v>123</c:v>
                </c:pt>
                <c:pt idx="28">
                  <c:v>120</c:v>
                </c:pt>
                <c:pt idx="29">
                  <c:v>110</c:v>
                </c:pt>
                <c:pt idx="30">
                  <c:v>98</c:v>
                </c:pt>
                <c:pt idx="31">
                  <c:v>70</c:v>
                </c:pt>
                <c:pt idx="32">
                  <c:v>58</c:v>
                </c:pt>
                <c:pt idx="33">
                  <c:v>60</c:v>
                </c:pt>
                <c:pt idx="34">
                  <c:v>40</c:v>
                </c:pt>
                <c:pt idx="35">
                  <c:v>44</c:v>
                </c:pt>
                <c:pt idx="36">
                  <c:v>23</c:v>
                </c:pt>
                <c:pt idx="37">
                  <c:v>47</c:v>
                </c:pt>
                <c:pt idx="38">
                  <c:v>130</c:v>
                </c:pt>
                <c:pt idx="39">
                  <c:v>54</c:v>
                </c:pt>
                <c:pt idx="40">
                  <c:v>68</c:v>
                </c:pt>
                <c:pt idx="41">
                  <c:v>41</c:v>
                </c:pt>
                <c:pt idx="42">
                  <c:v>36</c:v>
                </c:pt>
                <c:pt idx="43">
                  <c:v>54</c:v>
                </c:pt>
                <c:pt idx="44">
                  <c:v>67</c:v>
                </c:pt>
                <c:pt idx="45">
                  <c:v>24</c:v>
                </c:pt>
                <c:pt idx="46">
                  <c:v>39</c:v>
                </c:pt>
                <c:pt idx="47">
                  <c:v>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2971190"/>
        <c:axId val="92321057"/>
      </c:lineChart>
      <c:catAx>
        <c:axId val="9297119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6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2321057"/>
        <c:crosses val="autoZero"/>
        <c:auto val="1"/>
        <c:lblAlgn val="ctr"/>
        <c:lblOffset val="100"/>
        <c:noMultiLvlLbl val="0"/>
      </c:catAx>
      <c:valAx>
        <c:axId val="923210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6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2971190"/>
        <c:crossesAt val="1"/>
        <c:crossBetween val="midCat"/>
        <c:majorUnit val="50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38160</xdr:colOff>
      <xdr:row>0</xdr:row>
      <xdr:rowOff>23040</xdr:rowOff>
    </xdr:from>
    <xdr:to>
      <xdr:col>16</xdr:col>
      <xdr:colOff>665640</xdr:colOff>
      <xdr:row>38</xdr:row>
      <xdr:rowOff>29160</xdr:rowOff>
    </xdr:to>
    <xdr:graphicFrame>
      <xdr:nvGraphicFramePr>
        <xdr:cNvPr id="1" name=""/>
        <xdr:cNvGraphicFramePr/>
      </xdr:nvGraphicFramePr>
      <xdr:xfrm>
        <a:off x="38160" y="23040"/>
        <a:ext cx="13642560" cy="6183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713520</xdr:colOff>
      <xdr:row>1</xdr:row>
      <xdr:rowOff>89280</xdr:rowOff>
    </xdr:from>
    <xdr:to>
      <xdr:col>2</xdr:col>
      <xdr:colOff>713520</xdr:colOff>
      <xdr:row>32</xdr:row>
      <xdr:rowOff>53280</xdr:rowOff>
    </xdr:to>
    <xdr:sp>
      <xdr:nvSpPr>
        <xdr:cNvPr id="2" name="Line 1"/>
        <xdr:cNvSpPr/>
      </xdr:nvSpPr>
      <xdr:spPr>
        <a:xfrm flipV="1">
          <a:off x="2340360" y="252000"/>
          <a:ext cx="0" cy="5003280"/>
        </a:xfrm>
        <a:prstGeom prst="line">
          <a:avLst/>
        </a:prstGeom>
        <a:ln w="0">
          <a:solidFill>
            <a:srgbClr val="FF0000"/>
          </a:solidFill>
        </a:ln>
      </xdr:spPr>
      <xdr:style>
        <a:lnRef idx="0"/>
        <a:fillRef idx="0"/>
        <a:effectRef idx="0"/>
        <a:fontRef idx="minor"/>
      </xdr:style>
      <xdr:txBody>
        <a:bodyPr lIns="0" tIns="0" rIns="0" bIns="0" anchor="ctr" anchorCtr="1">
          <a:noAutofit/>
        </a:bodyPr>
        <a:p>
          <a:pPr algn="ctr">
            <a:lnSpc>
              <a:spcPct val="100000"/>
            </a:lnSpc>
          </a:pP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Flood</a:t>
          </a:r>
          <a:endParaRPr lang="en-US" sz="10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239040</xdr:colOff>
      <xdr:row>1</xdr:row>
      <xdr:rowOff>108000</xdr:rowOff>
    </xdr:from>
    <xdr:to>
      <xdr:col>4</xdr:col>
      <xdr:colOff>239040</xdr:colOff>
      <xdr:row>32</xdr:row>
      <xdr:rowOff>72000</xdr:rowOff>
    </xdr:to>
    <xdr:sp>
      <xdr:nvSpPr>
        <xdr:cNvPr id="3" name="Line 2"/>
        <xdr:cNvSpPr/>
      </xdr:nvSpPr>
      <xdr:spPr>
        <a:xfrm flipV="1">
          <a:off x="3492720" y="270720"/>
          <a:ext cx="0" cy="5003280"/>
        </a:xfrm>
        <a:prstGeom prst="line">
          <a:avLst/>
        </a:prstGeom>
        <a:ln w="0">
          <a:solidFill>
            <a:srgbClr val="800080"/>
          </a:solidFill>
        </a:ln>
      </xdr:spPr>
      <xdr:style>
        <a:lnRef idx="0"/>
        <a:fillRef idx="0"/>
        <a:effectRef idx="0"/>
        <a:fontRef idx="minor"/>
      </xdr:style>
      <xdr:txBody>
        <a:bodyPr lIns="0" tIns="0" rIns="0" bIns="0" anchor="ctr" anchorCtr="1">
          <a:noAutofit/>
        </a:bodyPr>
        <a:p>
          <a:pPr algn="ctr">
            <a:lnSpc>
              <a:spcPct val="100000"/>
            </a:lnSpc>
          </a:pP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First recorded man to live entirely after the flood</a:t>
          </a:r>
          <a:endParaRPr lang="en-US" sz="10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I25" activeCellId="0" sqref="I25"/>
    </sheetView>
  </sheetViews>
  <sheetFormatPr defaultColWidth="9.6328125" defaultRowHeight="15" customHeight="true" zeroHeight="false" outlineLevelRow="0" outlineLevelCol="0"/>
  <cols>
    <col collapsed="false" customWidth="true" hidden="false" outlineLevel="0" max="1" min="1" style="1" width="26.28"/>
    <col collapsed="false" customWidth="true" hidden="false" outlineLevel="0" max="2" min="2" style="2" width="4.56"/>
    <col collapsed="false" customWidth="true" hidden="false" outlineLevel="0" max="3" min="3" style="2" width="22.29"/>
    <col collapsed="false" customWidth="false" hidden="false" outlineLevel="0" max="16384" min="4" style="3" width="9.63"/>
  </cols>
  <sheetData>
    <row r="1" customFormat="false" ht="15" hidden="false" customHeight="false" outlineLevel="0" collapsed="false">
      <c r="A1" s="4" t="s">
        <v>0</v>
      </c>
      <c r="B1" s="5" t="s">
        <v>1</v>
      </c>
      <c r="C1" s="5" t="s">
        <v>2</v>
      </c>
    </row>
    <row r="2" customFormat="false" ht="15" hidden="false" customHeight="false" outlineLevel="0" collapsed="false">
      <c r="A2" s="1" t="s">
        <v>3</v>
      </c>
      <c r="B2" s="2" t="n">
        <v>930</v>
      </c>
      <c r="C2" s="2" t="s">
        <v>4</v>
      </c>
      <c r="D2" s="6" t="s">
        <v>5</v>
      </c>
      <c r="E2" s="2" t="s">
        <v>6</v>
      </c>
      <c r="F2" s="6" t="s">
        <v>5</v>
      </c>
      <c r="H2" s="2"/>
    </row>
    <row r="3" customFormat="false" ht="15" hidden="false" customHeight="false" outlineLevel="0" collapsed="false">
      <c r="A3" s="1" t="s">
        <v>7</v>
      </c>
      <c r="B3" s="2" t="n">
        <v>912</v>
      </c>
      <c r="C3" s="2" t="s">
        <v>8</v>
      </c>
      <c r="D3" s="6" t="s">
        <v>9</v>
      </c>
      <c r="E3" s="2" t="s">
        <v>10</v>
      </c>
      <c r="F3" s="6" t="s">
        <v>11</v>
      </c>
      <c r="H3" s="2"/>
    </row>
    <row r="4" customFormat="false" ht="15" hidden="false" customHeight="false" outlineLevel="0" collapsed="false">
      <c r="A4" s="1" t="s">
        <v>12</v>
      </c>
      <c r="B4" s="2" t="n">
        <v>905</v>
      </c>
      <c r="C4" s="2" t="s">
        <v>13</v>
      </c>
      <c r="D4" s="6" t="s">
        <v>14</v>
      </c>
      <c r="E4" s="2"/>
      <c r="F4" s="6" t="s">
        <v>15</v>
      </c>
      <c r="H4" s="2"/>
    </row>
    <row r="5" customFormat="false" ht="15" hidden="false" customHeight="false" outlineLevel="0" collapsed="false">
      <c r="A5" s="1" t="s">
        <v>16</v>
      </c>
      <c r="B5" s="2" t="n">
        <v>910</v>
      </c>
      <c r="C5" s="2" t="s">
        <v>17</v>
      </c>
      <c r="D5" s="6" t="s">
        <v>18</v>
      </c>
      <c r="E5" s="2"/>
      <c r="F5" s="6" t="s">
        <v>19</v>
      </c>
      <c r="H5" s="2"/>
      <c r="I5" s="2" t="n">
        <v>70</v>
      </c>
    </row>
    <row r="6" customFormat="false" ht="15" hidden="false" customHeight="false" outlineLevel="0" collapsed="false">
      <c r="A6" s="1" t="s">
        <v>20</v>
      </c>
      <c r="B6" s="2" t="n">
        <v>895</v>
      </c>
      <c r="C6" s="2" t="s">
        <v>21</v>
      </c>
      <c r="D6" s="6"/>
      <c r="E6" s="2"/>
      <c r="F6" s="6" t="s">
        <v>22</v>
      </c>
      <c r="H6" s="2"/>
      <c r="I6" s="2" t="n">
        <v>58</v>
      </c>
    </row>
    <row r="7" customFormat="false" ht="15" hidden="false" customHeight="false" outlineLevel="0" collapsed="false">
      <c r="A7" s="1" t="s">
        <v>23</v>
      </c>
      <c r="B7" s="2" t="n">
        <v>962</v>
      </c>
      <c r="C7" s="2" t="s">
        <v>24</v>
      </c>
      <c r="D7" s="6"/>
      <c r="E7" s="2"/>
      <c r="F7" s="6" t="s">
        <v>25</v>
      </c>
      <c r="H7" s="2"/>
      <c r="I7" s="2" t="n">
        <v>60</v>
      </c>
    </row>
    <row r="8" customFormat="false" ht="15" hidden="false" customHeight="false" outlineLevel="0" collapsed="false">
      <c r="A8" s="1" t="s">
        <v>10</v>
      </c>
      <c r="B8" s="2" t="n">
        <v>365</v>
      </c>
      <c r="C8" s="2" t="s">
        <v>26</v>
      </c>
      <c r="D8" s="6"/>
      <c r="E8" s="2"/>
      <c r="F8" s="6" t="s">
        <v>9</v>
      </c>
      <c r="H8" s="2"/>
      <c r="I8" s="2" t="n">
        <v>40</v>
      </c>
    </row>
    <row r="9" customFormat="false" ht="15" hidden="false" customHeight="false" outlineLevel="0" collapsed="false">
      <c r="A9" s="1" t="s">
        <v>27</v>
      </c>
      <c r="B9" s="2" t="n">
        <v>969</v>
      </c>
      <c r="C9" s="2" t="s">
        <v>28</v>
      </c>
      <c r="D9" s="7" t="n">
        <f aca="false">AVERAGE(B2:B9)</f>
        <v>856</v>
      </c>
      <c r="E9" s="8" t="n">
        <f aca="false">AVERAGE(B2:B7,B9:B10)</f>
        <v>907.5</v>
      </c>
      <c r="F9" s="6" t="s">
        <v>29</v>
      </c>
      <c r="H9" s="2"/>
      <c r="I9" s="2" t="n">
        <v>44</v>
      </c>
    </row>
    <row r="10" customFormat="false" ht="15" hidden="false" customHeight="false" outlineLevel="0" collapsed="false">
      <c r="A10" s="1" t="s">
        <v>30</v>
      </c>
      <c r="B10" s="2" t="n">
        <v>777</v>
      </c>
      <c r="C10" s="2" t="s">
        <v>31</v>
      </c>
      <c r="D10" s="9" t="n">
        <f aca="false">AVERAGE(B10:B49)</f>
        <v>180.525</v>
      </c>
      <c r="F10" s="6"/>
      <c r="H10" s="2"/>
      <c r="I10" s="2" t="n">
        <v>23</v>
      </c>
    </row>
    <row r="11" customFormat="false" ht="15" hidden="false" customHeight="false" outlineLevel="0" collapsed="false">
      <c r="A11" s="1" t="s">
        <v>32</v>
      </c>
      <c r="B11" s="2" t="n">
        <v>950</v>
      </c>
      <c r="C11" s="2" t="s">
        <v>33</v>
      </c>
      <c r="D11" s="10"/>
      <c r="F11" s="6"/>
      <c r="H11" s="2"/>
      <c r="I11" s="2" t="n">
        <v>47</v>
      </c>
    </row>
    <row r="12" customFormat="false" ht="15" hidden="false" customHeight="false" outlineLevel="0" collapsed="false">
      <c r="A12" s="1" t="s">
        <v>34</v>
      </c>
      <c r="B12" s="2" t="n">
        <f aca="false">100+500</f>
        <v>600</v>
      </c>
      <c r="C12" s="2" t="s">
        <v>35</v>
      </c>
      <c r="D12" s="11" t="s">
        <v>5</v>
      </c>
      <c r="F12" s="12" t="n">
        <f aca="false">AVERAGE(B2:B12)</f>
        <v>834.090909090909</v>
      </c>
      <c r="H12" s="13"/>
      <c r="I12" s="2"/>
    </row>
    <row r="13" customFormat="false" ht="15" hidden="false" customHeight="false" outlineLevel="0" collapsed="false">
      <c r="A13" s="1" t="s">
        <v>36</v>
      </c>
      <c r="B13" s="2" t="n">
        <f aca="false">35+403</f>
        <v>438</v>
      </c>
      <c r="C13" s="2" t="s">
        <v>37</v>
      </c>
      <c r="D13" s="11" t="s">
        <v>38</v>
      </c>
      <c r="F13" s="14" t="n">
        <f aca="false">AVERAGE(B13:B49)</f>
        <v>132.27027027027</v>
      </c>
      <c r="I13" s="2" t="n">
        <v>54</v>
      </c>
    </row>
    <row r="14" customFormat="false" ht="15" hidden="false" customHeight="false" outlineLevel="0" collapsed="false">
      <c r="A14" s="1" t="s">
        <v>39</v>
      </c>
      <c r="B14" s="2" t="n">
        <f aca="false">30+403</f>
        <v>433</v>
      </c>
      <c r="C14" s="2" t="s">
        <v>40</v>
      </c>
      <c r="D14" s="11" t="s">
        <v>14</v>
      </c>
      <c r="F14" s="10"/>
      <c r="I14" s="2" t="n">
        <v>68</v>
      </c>
    </row>
    <row r="15" customFormat="false" ht="15" hidden="false" customHeight="false" outlineLevel="0" collapsed="false">
      <c r="A15" s="1" t="s">
        <v>41</v>
      </c>
      <c r="B15" s="2" t="n">
        <f aca="false">34+430</f>
        <v>464</v>
      </c>
      <c r="C15" s="2" t="s">
        <v>42</v>
      </c>
      <c r="D15" s="11" t="s">
        <v>18</v>
      </c>
      <c r="F15" s="11" t="s">
        <v>5</v>
      </c>
      <c r="I15" s="2" t="n">
        <v>41</v>
      </c>
    </row>
    <row r="16" customFormat="false" ht="15" hidden="false" customHeight="false" outlineLevel="0" collapsed="false">
      <c r="A16" s="4" t="s">
        <v>43</v>
      </c>
      <c r="B16" s="2" t="n">
        <f aca="false">30+209</f>
        <v>239</v>
      </c>
      <c r="C16" s="2" t="s">
        <v>44</v>
      </c>
      <c r="D16" s="10"/>
      <c r="F16" s="11" t="s">
        <v>11</v>
      </c>
      <c r="I16" s="2" t="n">
        <v>36</v>
      </c>
    </row>
    <row r="17" customFormat="false" ht="15" hidden="false" customHeight="false" outlineLevel="0" collapsed="false">
      <c r="A17" s="1" t="s">
        <v>45</v>
      </c>
      <c r="B17" s="2" t="n">
        <f aca="false">32+207</f>
        <v>239</v>
      </c>
      <c r="C17" s="2" t="s">
        <v>46</v>
      </c>
      <c r="D17" s="10"/>
      <c r="F17" s="11" t="s">
        <v>15</v>
      </c>
      <c r="I17" s="2" t="n">
        <v>54</v>
      </c>
    </row>
    <row r="18" customFormat="false" ht="15" hidden="false" customHeight="false" outlineLevel="0" collapsed="false">
      <c r="A18" s="1" t="s">
        <v>47</v>
      </c>
      <c r="B18" s="2" t="n">
        <f aca="false">30+200</f>
        <v>230</v>
      </c>
      <c r="C18" s="2" t="s">
        <v>48</v>
      </c>
      <c r="D18" s="10"/>
      <c r="F18" s="11" t="s">
        <v>49</v>
      </c>
      <c r="I18" s="2" t="n">
        <v>67</v>
      </c>
    </row>
    <row r="19" customFormat="false" ht="15" hidden="false" customHeight="false" outlineLevel="0" collapsed="false">
      <c r="A19" s="1" t="s">
        <v>50</v>
      </c>
      <c r="B19" s="2" t="n">
        <f aca="false">29+119</f>
        <v>148</v>
      </c>
      <c r="C19" s="2" t="s">
        <v>51</v>
      </c>
      <c r="D19" s="10"/>
      <c r="F19" s="11" t="s">
        <v>38</v>
      </c>
      <c r="I19" s="2" t="n">
        <v>24</v>
      </c>
    </row>
    <row r="20" customFormat="false" ht="15" hidden="false" customHeight="false" outlineLevel="0" collapsed="false">
      <c r="A20" s="1" t="s">
        <v>52</v>
      </c>
      <c r="B20" s="2" t="n">
        <v>205</v>
      </c>
      <c r="C20" s="2" t="s">
        <v>53</v>
      </c>
      <c r="D20" s="10"/>
      <c r="F20" s="11" t="s">
        <v>29</v>
      </c>
      <c r="I20" s="2"/>
    </row>
    <row r="21" customFormat="false" ht="15" hidden="false" customHeight="false" outlineLevel="0" collapsed="false">
      <c r="A21" s="1" t="s">
        <v>54</v>
      </c>
      <c r="B21" s="2" t="n">
        <v>175</v>
      </c>
      <c r="C21" s="2" t="s">
        <v>55</v>
      </c>
      <c r="D21" s="10"/>
      <c r="F21" s="11"/>
      <c r="I21" s="2"/>
      <c r="J21" s="3" t="n">
        <f aca="false">AVERAGE(I5:I21)</f>
        <v>49</v>
      </c>
      <c r="K21" s="3" t="n">
        <f aca="false">130-49</f>
        <v>81</v>
      </c>
    </row>
    <row r="22" customFormat="false" ht="15" hidden="false" customHeight="false" outlineLevel="0" collapsed="false">
      <c r="A22" s="1" t="s">
        <v>56</v>
      </c>
      <c r="B22" s="2" t="n">
        <v>137</v>
      </c>
      <c r="C22" s="2" t="s">
        <v>57</v>
      </c>
      <c r="D22" s="10"/>
      <c r="F22" s="11"/>
      <c r="I22" s="3" t="n">
        <f aca="false">AVERAGE(B21:B27)</f>
        <v>145.571428571429</v>
      </c>
    </row>
    <row r="23" customFormat="false" ht="15" hidden="false" customHeight="false" outlineLevel="0" collapsed="false">
      <c r="A23" s="1" t="s">
        <v>58</v>
      </c>
      <c r="B23" s="2" t="n">
        <v>180</v>
      </c>
      <c r="C23" s="2" t="s">
        <v>59</v>
      </c>
      <c r="D23" s="10"/>
      <c r="F23" s="11"/>
      <c r="I23" s="3" t="n">
        <f aca="false">AVERAGE(B24:B49)</f>
        <v>77.1538461538462</v>
      </c>
    </row>
    <row r="24" customFormat="false" ht="15" hidden="false" customHeight="false" outlineLevel="0" collapsed="false">
      <c r="A24" s="1" t="s">
        <v>60</v>
      </c>
      <c r="B24" s="2" t="n">
        <v>147</v>
      </c>
      <c r="C24" s="2" t="s">
        <v>61</v>
      </c>
      <c r="D24" s="10"/>
      <c r="F24" s="11"/>
      <c r="I24" s="3" t="n">
        <f aca="false">AVERAGE(B18:B24)</f>
        <v>174.571428571429</v>
      </c>
    </row>
    <row r="25" customFormat="false" ht="15" hidden="false" customHeight="false" outlineLevel="0" collapsed="false">
      <c r="A25" s="4" t="s">
        <v>62</v>
      </c>
      <c r="B25" s="2" t="n">
        <v>110</v>
      </c>
      <c r="C25" s="2" t="s">
        <v>63</v>
      </c>
      <c r="D25" s="10"/>
      <c r="F25" s="11"/>
    </row>
    <row r="26" customFormat="false" ht="15" hidden="false" customHeight="false" outlineLevel="0" collapsed="false">
      <c r="A26" s="1" t="s">
        <v>64</v>
      </c>
      <c r="B26" s="2" t="n">
        <v>137</v>
      </c>
      <c r="C26" s="2" t="s">
        <v>65</v>
      </c>
      <c r="D26" s="10"/>
      <c r="F26" s="11"/>
    </row>
    <row r="27" customFormat="false" ht="15" hidden="false" customHeight="false" outlineLevel="0" collapsed="false">
      <c r="A27" s="1" t="s">
        <v>66</v>
      </c>
      <c r="B27" s="2" t="n">
        <v>133</v>
      </c>
      <c r="C27" s="2" t="s">
        <v>67</v>
      </c>
      <c r="D27" s="10"/>
      <c r="F27" s="11"/>
    </row>
    <row r="28" customFormat="false" ht="15" hidden="false" customHeight="false" outlineLevel="0" collapsed="false">
      <c r="A28" s="1" t="s">
        <v>68</v>
      </c>
      <c r="B28" s="2" t="n">
        <v>137</v>
      </c>
      <c r="C28" s="2" t="s">
        <v>69</v>
      </c>
      <c r="D28" s="10"/>
      <c r="F28" s="11"/>
    </row>
    <row r="29" customFormat="false" ht="15" hidden="false" customHeight="false" outlineLevel="0" collapsed="false">
      <c r="A29" s="1" t="s">
        <v>70</v>
      </c>
      <c r="B29" s="2" t="n">
        <v>123</v>
      </c>
      <c r="C29" s="2" t="s">
        <v>71</v>
      </c>
      <c r="D29" s="10"/>
      <c r="F29" s="10"/>
    </row>
    <row r="30" customFormat="false" ht="15" hidden="false" customHeight="false" outlineLevel="0" collapsed="false">
      <c r="A30" s="1" t="s">
        <v>72</v>
      </c>
      <c r="B30" s="2" t="n">
        <v>120</v>
      </c>
      <c r="C30" s="2" t="s">
        <v>73</v>
      </c>
      <c r="D30" s="10"/>
      <c r="F30" s="10"/>
    </row>
    <row r="31" customFormat="false" ht="15" hidden="false" customHeight="false" outlineLevel="0" collapsed="false">
      <c r="A31" s="1" t="s">
        <v>74</v>
      </c>
      <c r="B31" s="2" t="n">
        <v>110</v>
      </c>
      <c r="C31" s="2" t="s">
        <v>75</v>
      </c>
      <c r="D31" s="10"/>
      <c r="F31" s="10"/>
    </row>
    <row r="32" customFormat="false" ht="15" hidden="false" customHeight="false" outlineLevel="0" collapsed="false">
      <c r="A32" s="1" t="s">
        <v>76</v>
      </c>
      <c r="B32" s="2" t="n">
        <v>98</v>
      </c>
      <c r="C32" s="2" t="s">
        <v>77</v>
      </c>
      <c r="D32" s="10"/>
      <c r="F32" s="10"/>
    </row>
    <row r="33" customFormat="false" ht="15" hidden="false" customHeight="false" outlineLevel="0" collapsed="false">
      <c r="A33" s="1" t="s">
        <v>78</v>
      </c>
      <c r="B33" s="2" t="n">
        <v>70</v>
      </c>
      <c r="C33" s="2" t="s">
        <v>79</v>
      </c>
      <c r="D33" s="10"/>
      <c r="F33" s="10"/>
    </row>
    <row r="34" customFormat="false" ht="64.9" hidden="false" customHeight="false" outlineLevel="0" collapsed="false">
      <c r="A34" s="1" t="s">
        <v>80</v>
      </c>
      <c r="B34" s="2" t="n">
        <v>58</v>
      </c>
      <c r="C34" s="15" t="s">
        <v>81</v>
      </c>
      <c r="D34" s="10"/>
      <c r="F34" s="10"/>
    </row>
    <row r="35" customFormat="false" ht="64.9" hidden="false" customHeight="false" outlineLevel="0" collapsed="false">
      <c r="A35" s="1" t="s">
        <v>82</v>
      </c>
      <c r="B35" s="2" t="n">
        <v>60</v>
      </c>
      <c r="C35" s="15" t="s">
        <v>83</v>
      </c>
      <c r="D35" s="10"/>
      <c r="F35" s="10"/>
    </row>
    <row r="36" customFormat="false" ht="15" hidden="false" customHeight="false" outlineLevel="0" collapsed="false">
      <c r="A36" s="1" t="s">
        <v>84</v>
      </c>
      <c r="B36" s="2" t="n">
        <v>40</v>
      </c>
      <c r="C36" s="2" t="s">
        <v>85</v>
      </c>
      <c r="D36" s="10"/>
      <c r="F36" s="10"/>
    </row>
    <row r="37" customFormat="false" ht="28.35" hidden="false" customHeight="false" outlineLevel="0" collapsed="false">
      <c r="A37" s="1" t="s">
        <v>86</v>
      </c>
      <c r="B37" s="2" t="n">
        <v>44</v>
      </c>
      <c r="C37" s="16" t="s">
        <v>87</v>
      </c>
      <c r="D37" s="10"/>
      <c r="F37" s="10"/>
    </row>
    <row r="38" customFormat="false" ht="21.6" hidden="false" customHeight="false" outlineLevel="0" collapsed="false">
      <c r="A38" s="1" t="s">
        <v>88</v>
      </c>
      <c r="B38" s="2" t="n">
        <v>23</v>
      </c>
      <c r="C38" s="16" t="s">
        <v>89</v>
      </c>
      <c r="D38" s="10"/>
      <c r="F38" s="10"/>
    </row>
    <row r="39" customFormat="false" ht="64.9" hidden="false" customHeight="false" outlineLevel="0" collapsed="false">
      <c r="A39" s="1" t="s">
        <v>90</v>
      </c>
      <c r="B39" s="2" t="n">
        <v>47</v>
      </c>
      <c r="C39" s="15" t="s">
        <v>91</v>
      </c>
      <c r="D39" s="10"/>
      <c r="F39" s="10"/>
    </row>
    <row r="40" customFormat="false" ht="15" hidden="false" customHeight="false" outlineLevel="0" collapsed="false">
      <c r="A40" s="1" t="s">
        <v>92</v>
      </c>
      <c r="B40" s="2" t="n">
        <v>130</v>
      </c>
      <c r="C40" s="2" t="s">
        <v>93</v>
      </c>
      <c r="D40" s="10"/>
      <c r="F40" s="10"/>
    </row>
    <row r="41" customFormat="false" ht="15" hidden="false" customHeight="false" outlineLevel="0" collapsed="false">
      <c r="A41" s="1" t="s">
        <v>94</v>
      </c>
      <c r="B41" s="2" t="n">
        <v>54</v>
      </c>
      <c r="C41" s="2" t="s">
        <v>95</v>
      </c>
      <c r="D41" s="10"/>
      <c r="F41" s="10"/>
    </row>
    <row r="42" customFormat="false" ht="64.9" hidden="false" customHeight="false" outlineLevel="0" collapsed="false">
      <c r="A42" s="1" t="s">
        <v>96</v>
      </c>
      <c r="B42" s="2" t="n">
        <v>68</v>
      </c>
      <c r="C42" s="15" t="s">
        <v>97</v>
      </c>
      <c r="D42" s="10"/>
      <c r="F42" s="10"/>
    </row>
    <row r="43" customFormat="false" ht="64.9" hidden="false" customHeight="false" outlineLevel="0" collapsed="false">
      <c r="A43" s="1" t="s">
        <v>98</v>
      </c>
      <c r="B43" s="2" t="n">
        <v>41</v>
      </c>
      <c r="C43" s="15" t="s">
        <v>99</v>
      </c>
      <c r="D43" s="10"/>
      <c r="F43" s="10"/>
    </row>
    <row r="44" customFormat="false" ht="64.9" hidden="false" customHeight="false" outlineLevel="0" collapsed="false">
      <c r="A44" s="1" t="s">
        <v>100</v>
      </c>
      <c r="B44" s="2" t="n">
        <v>36</v>
      </c>
      <c r="C44" s="15" t="s">
        <v>101</v>
      </c>
      <c r="D44" s="10"/>
      <c r="F44" s="10"/>
    </row>
    <row r="45" customFormat="false" ht="15" hidden="false" customHeight="false" outlineLevel="0" collapsed="false">
      <c r="A45" s="1" t="s">
        <v>102</v>
      </c>
      <c r="B45" s="2" t="n">
        <v>54</v>
      </c>
      <c r="C45" s="2" t="s">
        <v>103</v>
      </c>
      <c r="D45" s="10"/>
      <c r="F45" s="10"/>
    </row>
    <row r="46" customFormat="false" ht="64.9" hidden="false" customHeight="false" outlineLevel="0" collapsed="false">
      <c r="A46" s="1" t="s">
        <v>104</v>
      </c>
      <c r="B46" s="2" t="n">
        <v>67</v>
      </c>
      <c r="C46" s="15" t="s">
        <v>105</v>
      </c>
      <c r="D46" s="10"/>
      <c r="F46" s="10"/>
    </row>
    <row r="47" customFormat="false" ht="64.9" hidden="false" customHeight="false" outlineLevel="0" collapsed="false">
      <c r="A47" s="1" t="s">
        <v>106</v>
      </c>
      <c r="B47" s="2" t="n">
        <v>24</v>
      </c>
      <c r="C47" s="15" t="s">
        <v>107</v>
      </c>
      <c r="D47" s="10"/>
      <c r="F47" s="10"/>
    </row>
    <row r="48" customFormat="false" ht="15" hidden="false" customHeight="false" outlineLevel="0" collapsed="false">
      <c r="A48" s="1" t="s">
        <v>108</v>
      </c>
      <c r="B48" s="2" t="n">
        <v>39</v>
      </c>
      <c r="C48" s="2" t="s">
        <v>109</v>
      </c>
      <c r="D48" s="10"/>
      <c r="F48" s="10"/>
    </row>
    <row r="49" customFormat="false" ht="15" hidden="false" customHeight="false" outlineLevel="0" collapsed="false">
      <c r="A49" s="1" t="s">
        <v>110</v>
      </c>
      <c r="B49" s="2" t="n">
        <v>36</v>
      </c>
      <c r="C49" s="2" t="s">
        <v>111</v>
      </c>
      <c r="D49" s="10"/>
      <c r="F49" s="1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&amp;C&amp;10&amp;A</oddHeader>
    <oddFooter>&amp;C&amp;10Page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0" activeCellId="0" sqref="B40"/>
    </sheetView>
  </sheetViews>
  <sheetFormatPr defaultColWidth="9.6328125" defaultRowHeight="12.8" customHeight="true" zeroHeight="false" outlineLevelRow="0" outlineLevelCol="0"/>
  <cols>
    <col collapsed="false" customWidth="false" hidden="false" outlineLevel="0" max="16384" min="1" style="3" width="9.63"/>
  </cols>
  <sheetData/>
  <printOptions headings="false" gridLines="false" gridLinesSet="true" horizontalCentered="false" verticalCentered="false"/>
  <pageMargins left="0.3" right="0.3" top="0.5375" bottom="0.5375" header="0.3" footer="0.3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&amp;C&amp;10&amp;A</oddHeader>
    <oddFooter>&amp;C&amp;10Page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610</TotalTime>
  <Application>LibreOffice/26.2.4.2$Linux_X86_64 LibreOffice_project/64a984c51f4702dbd3710b13428c673a2f1292e7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2025-08-23T08:57:51Z</dcterms:created>
  <dc:creator/>
  <dc:description/>
  <dc:language>en-US</dc:language>
  <cp:lastModifiedBy/>
  <cp:lastPrinted>2026-06-18T16:13:23Z</cp:lastPrinted>
  <dcterms:modified xsi:type="dcterms:W3CDTF">2026-07-11T12:20:09Z</dcterms:modified>
  <cp:revision>131</cp:revision>
  <dc:subject/>
  <dc:title>Lifespans in the Bible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